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64dcba3c1eb433d" /></Relationships>
</file>

<file path=xl/workbook.xml><?xml version="1.0" encoding="utf-8"?>
<x:workbook xmlns:x="http://schemas.openxmlformats.org/spreadsheetml/2006/main">
  <x:sheets>
    <x:sheet xmlns:r="http://schemas.openxmlformats.org/officeDocument/2006/relationships" name="Directory Tracker" sheetId="1" r:id="Ra2e912736ec048bf"/>
    <x:sheet xmlns:r="http://schemas.openxmlformats.org/officeDocument/2006/relationships" name="Submission Copy" sheetId="2" r:id="R4b1b42aa808d497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quot;$&quot;#,##0.00"/>
    <x:numFmt numFmtId="201" formatCode="yyyy-mm-dd"/>
  </x:numFmts>
  <x:fonts count="22">
    <x:font>
      <x:sz val="11"/>
      <x:name val="Carlito"/>
    </x:font>
    <x:font>
      <x:b/>
      <x:sz val="20"/>
      <x:color rgb="FFFFFFFF"/>
      <x:name val="Aptos Display"/>
    </x:font>
    <x:font>
      <x:sz val="10"/>
      <x:color rgb="FF3F327A"/>
      <x:name val="Aptos"/>
    </x:font>
    <x:font>
      <x:b/>
      <x:sz val="10"/>
      <x:color rgb="FF17643B"/>
      <x:name val="Aptos"/>
    </x:font>
    <x:font>
      <x:b/>
      <x:sz val="18"/>
      <x:color rgb="FF17643B"/>
      <x:name val="Aptos Display"/>
    </x:font>
    <x:font>
      <x:b/>
      <x:sz val="10"/>
      <x:color rgb="FF9E2430"/>
      <x:name val="Aptos"/>
    </x:font>
    <x:font>
      <x:b/>
      <x:sz val="18"/>
      <x:color rgb="FF9E2430"/>
      <x:name val="Aptos Display"/>
    </x:font>
    <x:font>
      <x:b/>
      <x:sz val="10"/>
      <x:color rgb="FF7A4C00"/>
      <x:name val="Aptos"/>
    </x:font>
    <x:font>
      <x:b/>
      <x:sz val="18"/>
      <x:color rgb="FF7A4C00"/>
      <x:name val="Aptos Display"/>
    </x:font>
    <x:font>
      <x:b/>
      <x:sz val="10"/>
      <x:color rgb="FF1D4F91"/>
      <x:name val="Aptos"/>
    </x:font>
    <x:font>
      <x:b/>
      <x:sz val="18"/>
      <x:color rgb="FF1D4F91"/>
      <x:name val="Aptos Display"/>
    </x:font>
    <x:font>
      <x:b/>
      <x:sz val="10"/>
      <x:color rgb="FFFFFFFF"/>
      <x:name val="Aptos"/>
    </x:font>
    <x:font>
      <x:b/>
      <x:sz val="9"/>
      <x:color rgb="FF17643B"/>
      <x:name val="Carlito"/>
    </x:font>
    <x:font>
      <x:b/>
      <x:sz val="9"/>
      <x:color rgb="FF9E2430"/>
      <x:name val="Carlito"/>
    </x:font>
    <x:font>
      <x:b/>
      <x:sz val="9"/>
      <x:color rgb="FF1D4F91"/>
      <x:name val="Carlito"/>
    </x:font>
    <x:font>
      <x:b/>
      <x:sz val="9"/>
      <x:color rgb="FF535A66"/>
      <x:name val="Carlito"/>
    </x:font>
    <x:font>
      <x:b/>
      <x:sz val="9"/>
      <x:color rgb="FFFFFFFF"/>
      <x:name val="Aptos"/>
    </x:font>
    <x:font>
      <x:sz val="9"/>
      <x:color rgb="FF171328"/>
      <x:name val="Aptos"/>
    </x:font>
    <x:font>
      <x:b/>
      <x:sz val="19"/>
      <x:color rgb="FFFFFFFF"/>
      <x:name val="Aptos Display"/>
    </x:font>
    <x:font>
      <x:sz val="10"/>
      <x:color rgb="FF6A4700"/>
      <x:name val="Aptos"/>
    </x:font>
    <x:font>
      <x:sz val="10"/>
      <x:color rgb="FF171328"/>
      <x:name val="Aptos"/>
    </x:font>
    <x:font>
      <x:b/>
      <x:sz val="10"/>
      <x:color rgb="FF3F327A"/>
      <x:name val="Aptos"/>
    </x:font>
  </x:fonts>
  <x:fills count="10">
    <x:fill>
      <x:patternFill patternType="none"/>
    </x:fill>
    <x:fill>
      <x:patternFill patternType="gray125"/>
    </x:fill>
    <x:fill>
      <x:patternFill patternType="solid">
        <x:fgColor rgb="FF171328"/>
      </x:patternFill>
    </x:fill>
    <x:fill>
      <x:patternFill patternType="solid">
        <x:fgColor rgb="FFEEEAFE"/>
      </x:patternFill>
    </x:fill>
    <x:fill>
      <x:patternFill patternType="solid">
        <x:fgColor rgb="FFDDF5E7"/>
      </x:patternFill>
    </x:fill>
    <x:fill>
      <x:patternFill patternType="solid">
        <x:fgColor rgb="FFFDE3E5"/>
      </x:patternFill>
    </x:fill>
    <x:fill>
      <x:patternFill patternType="solid">
        <x:fgColor rgb="FFFFF4D6"/>
      </x:patternFill>
    </x:fill>
    <x:fill>
      <x:patternFill patternType="solid">
        <x:fgColor rgb="FFDCEBFF"/>
      </x:patternFill>
    </x:fill>
    <x:fill>
      <x:patternFill patternType="solid">
        <x:fgColor rgb="FFEEF0F4"/>
      </x:patternFill>
    </x:fill>
    <x:fill>
      <x:patternFill patternType="solid">
        <x:fgColor rgb="FF3F327A"/>
      </x:patternFill>
    </x:fill>
  </x:fills>
  <x:borders count="8">
    <x:border/>
    <x:border>
      <x:left style="thin">
        <x:color rgb="FFD8D5E3"/>
      </x:left>
      <x:top style="thin">
        <x:color rgb="FFD8D5E3"/>
      </x:top>
      <x:bottom style="thin">
        <x:color rgb="FFD8D5E3"/>
      </x:bottom>
    </x:border>
    <x:border>
      <x:top style="thin">
        <x:color rgb="FFD8D5E3"/>
      </x:top>
      <x:bottom style="thin">
        <x:color rgb="FFD8D5E3"/>
      </x:bottom>
    </x:border>
    <x:border>
      <x:right style="thin">
        <x:color rgb="FFD8D5E3"/>
      </x:right>
      <x:top style="thin">
        <x:color rgb="FFD8D5E3"/>
      </x:top>
      <x:bottom style="thin">
        <x:color rgb="FFD8D5E3"/>
      </x:bottom>
    </x:border>
    <x:border>
      <x:left style="thin">
        <x:color rgb="FF3F327A"/>
      </x:left>
      <x:top style="thin">
        <x:color rgb="FF3F327A"/>
      </x:top>
      <x:bottom style="thin">
        <x:color rgb="FF3F327A"/>
      </x:bottom>
    </x:border>
    <x:border>
      <x:top style="thin">
        <x:color rgb="FF3F327A"/>
      </x:top>
      <x:bottom style="thin">
        <x:color rgb="FF3F327A"/>
      </x:bottom>
    </x:border>
    <x:border>
      <x:right style="thin">
        <x:color rgb="FF3F327A"/>
      </x:right>
      <x:top style="thin">
        <x:color rgb="FF3F327A"/>
      </x:top>
      <x:bottom style="thin">
        <x:color rgb="FF3F327A"/>
      </x:bottom>
    </x:border>
    <x:border>
      <x:bottom style="thin">
        <x:color rgb="FFD8D5E3"/>
      </x:bottom>
    </x:border>
  </x:borders>
  <x:cellStyleXfs count="1">
    <x:xf numFmtId="0" fontId="0" fillId="0" borderId="0"/>
  </x:cellStyleXfs>
  <x:cellXfs count="12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vertical="center"/>
    </x:xf>
    <x:xf numFmtId="0" fontId="3" fillId="4" borderId="2" xfId="0" applyNumberFormat="1" applyFont="1" applyFill="1" applyBorder="1" applyAlignment="1">
      <x:alignment vertical="center"/>
    </x:xf>
    <x:xf numFmtId="0" fontId="3" fillId="4" borderId="3" xfId="0" applyNumberFormat="1" applyFont="1" applyFill="1" applyBorder="1" applyAlignment="1">
      <x:alignment vertical="center"/>
    </x:xf>
    <x:xf numFmtId="0" fontId="4" fillId="4" borderId="0" xfId="0" applyNumberFormat="1" applyFont="1" applyFill="1" applyBorder="1"/>
    <x:xf numFmtId="0" fontId="4" fillId="4" borderId="1" xfId="0" applyNumberFormat="1" applyFont="1" applyFill="1" applyBorder="1"/>
    <x:xf numFmtId="0" fontId="4" fillId="4" borderId="2" xfId="0" applyNumberFormat="1" applyFont="1" applyFill="1" applyBorder="1"/>
    <x:xf numFmtId="0" fontId="4" fillId="4" borderId="3" xfId="0" applyNumberFormat="1" applyFont="1" applyFill="1" applyBorder="1"/>
    <x:xf numFmtId="0" fontId="4" fillId="4" borderId="1" xfId="0" applyNumberFormat="1" applyFont="1" applyFill="1" applyBorder="1" applyAlignment="1">
      <x:alignment vertical="center"/>
    </x:xf>
    <x:xf numFmtId="0" fontId="4" fillId="4" borderId="2" xfId="0" applyNumberFormat="1" applyFont="1" applyFill="1" applyBorder="1" applyAlignment="1">
      <x:alignment vertical="center"/>
    </x:xf>
    <x:xf numFmtId="0" fontId="4" fillId="4" borderId="3" xfId="0" applyNumberFormat="1" applyFont="1" applyFill="1" applyBorder="1" applyAlignment="1">
      <x:alignment vertical="center"/>
    </x:xf>
    <x:xf numFmtId="0" fontId="0" fillId="5" borderId="0"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5" fillId="5" borderId="2" xfId="0" applyNumberFormat="1" applyFont="1" applyFill="1" applyBorder="1"/>
    <x:xf numFmtId="0" fontId="5" fillId="5" borderId="3" xfId="0" applyNumberFormat="1" applyFont="1" applyFill="1" applyBorder="1"/>
    <x:xf numFmtId="0" fontId="5" fillId="5" borderId="1" xfId="0" applyNumberFormat="1" applyFont="1" applyFill="1" applyBorder="1" applyAlignment="1">
      <x:alignment vertical="center"/>
    </x:xf>
    <x:xf numFmtId="0" fontId="5" fillId="5" borderId="2" xfId="0" applyNumberFormat="1" applyFont="1" applyFill="1" applyBorder="1" applyAlignment="1">
      <x:alignment vertical="center"/>
    </x:xf>
    <x:xf numFmtId="0" fontId="5" fillId="5" borderId="3" xfId="0" applyNumberFormat="1" applyFont="1" applyFill="1" applyBorder="1" applyAlignment="1">
      <x:alignment vertical="center"/>
    </x:xf>
    <x:xf numFmtId="0" fontId="6" fillId="5" borderId="0" xfId="0" applyNumberFormat="1" applyFont="1" applyFill="1" applyBorder="1"/>
    <x:xf numFmtId="0" fontId="6" fillId="5" borderId="1" xfId="0" applyNumberFormat="1" applyFont="1" applyFill="1" applyBorder="1"/>
    <x:xf numFmtId="0" fontId="6" fillId="5" borderId="2" xfId="0" applyNumberFormat="1" applyFont="1" applyFill="1" applyBorder="1"/>
    <x:xf numFmtId="0" fontId="6" fillId="5" borderId="3" xfId="0" applyNumberFormat="1" applyFont="1" applyFill="1" applyBorder="1"/>
    <x:xf numFmtId="0" fontId="6" fillId="5" borderId="1" xfId="0" applyNumberFormat="1" applyFont="1" applyFill="1" applyBorder="1" applyAlignment="1">
      <x:alignment vertical="center"/>
    </x:xf>
    <x:xf numFmtId="0" fontId="6" fillId="5" borderId="2" xfId="0" applyNumberFormat="1" applyFont="1" applyFill="1" applyBorder="1" applyAlignment="1">
      <x:alignment vertical="center"/>
    </x:xf>
    <x:xf numFmtId="0" fontId="6" fillId="5" borderId="3" xfId="0" applyNumberFormat="1" applyFont="1" applyFill="1" applyBorder="1" applyAlignment="1">
      <x:alignment vertical="center"/>
    </x:xf>
    <x:xf numFmtId="0" fontId="0" fillId="6" borderId="0" xfId="0" applyNumberFormat="1" applyFont="1" applyFill="1" applyBorder="1"/>
    <x:xf numFmtId="0" fontId="7" fillId="6" borderId="0" xfId="0" applyNumberFormat="1" applyFont="1" applyFill="1" applyBorder="1"/>
    <x:xf numFmtId="0" fontId="7" fillId="6" borderId="1" xfId="0" applyNumberFormat="1" applyFont="1" applyFill="1" applyBorder="1"/>
    <x:xf numFmtId="0" fontId="7" fillId="6" borderId="2" xfId="0" applyNumberFormat="1" applyFont="1" applyFill="1" applyBorder="1"/>
    <x:xf numFmtId="0" fontId="7" fillId="6" borderId="3" xfId="0" applyNumberFormat="1" applyFont="1" applyFill="1" applyBorder="1"/>
    <x:xf numFmtId="0" fontId="7" fillId="6" borderId="1" xfId="0" applyNumberFormat="1" applyFont="1" applyFill="1" applyBorder="1" applyAlignment="1">
      <x:alignment vertical="center"/>
    </x:xf>
    <x:xf numFmtId="0" fontId="7" fillId="6" borderId="2" xfId="0" applyNumberFormat="1" applyFont="1" applyFill="1" applyBorder="1" applyAlignment="1">
      <x:alignment vertical="center"/>
    </x:xf>
    <x:xf numFmtId="0" fontId="7" fillId="6" borderId="3" xfId="0" applyNumberFormat="1" applyFont="1" applyFill="1" applyBorder="1" applyAlignment="1">
      <x:alignment vertical="center"/>
    </x:xf>
    <x:xf numFmtId="0" fontId="8" fillId="6" borderId="0" xfId="0" applyNumberFormat="1" applyFont="1" applyFill="1" applyBorder="1"/>
    <x:xf numFmtId="0" fontId="8" fillId="6" borderId="1" xfId="0" applyNumberFormat="1" applyFont="1" applyFill="1" applyBorder="1"/>
    <x:xf numFmtId="0" fontId="8" fillId="6" borderId="2" xfId="0" applyNumberFormat="1" applyFont="1" applyFill="1" applyBorder="1"/>
    <x:xf numFmtId="0" fontId="8" fillId="6" borderId="3" xfId="0" applyNumberFormat="1" applyFont="1" applyFill="1" applyBorder="1"/>
    <x:xf numFmtId="0" fontId="8" fillId="6" borderId="1" xfId="0" applyNumberFormat="1" applyFont="1" applyFill="1" applyBorder="1" applyAlignment="1">
      <x:alignment vertical="center"/>
    </x:xf>
    <x:xf numFmtId="0" fontId="8" fillId="6" borderId="2" xfId="0" applyNumberFormat="1" applyFont="1" applyFill="1" applyBorder="1" applyAlignment="1">
      <x:alignment vertical="center"/>
    </x:xf>
    <x:xf numFmtId="0" fontId="8" fillId="6" borderId="3" xfId="0" applyNumberFormat="1" applyFont="1" applyFill="1" applyBorder="1" applyAlignment="1">
      <x:alignment vertical="center"/>
    </x:xf>
    <x:xf numFmtId="0" fontId="0" fillId="7" borderId="0" xfId="0" applyNumberFormat="1" applyFont="1" applyFill="1" applyBorder="1"/>
    <x:xf numFmtId="0" fontId="9" fillId="7" borderId="0" xfId="0" applyNumberFormat="1" applyFont="1" applyFill="1" applyBorder="1"/>
    <x:xf numFmtId="0" fontId="9" fillId="7" borderId="1" xfId="0" applyNumberFormat="1" applyFont="1" applyFill="1" applyBorder="1"/>
    <x:xf numFmtId="0" fontId="9" fillId="7" borderId="2" xfId="0" applyNumberFormat="1" applyFont="1" applyFill="1" applyBorder="1"/>
    <x:xf numFmtId="0" fontId="9" fillId="7" borderId="3" xfId="0" applyNumberFormat="1" applyFont="1" applyFill="1" applyBorder="1"/>
    <x:xf numFmtId="0" fontId="9" fillId="7" borderId="1" xfId="0" applyNumberFormat="1" applyFont="1" applyFill="1" applyBorder="1" applyAlignment="1">
      <x:alignment vertical="center"/>
    </x:xf>
    <x:xf numFmtId="0" fontId="9" fillId="7" borderId="2" xfId="0" applyNumberFormat="1" applyFont="1" applyFill="1" applyBorder="1" applyAlignment="1">
      <x:alignment vertical="center"/>
    </x:xf>
    <x:xf numFmtId="0" fontId="9" fillId="7" borderId="3" xfId="0" applyNumberFormat="1" applyFont="1" applyFill="1" applyBorder="1" applyAlignment="1">
      <x:alignment vertical="center"/>
    </x:xf>
    <x:xf numFmtId="0" fontId="10" fillId="7" borderId="0" xfId="0" applyNumberFormat="1" applyFont="1" applyFill="1" applyBorder="1"/>
    <x:xf numFmtId="0" fontId="10" fillId="7" borderId="1" xfId="0" applyNumberFormat="1" applyFont="1" applyFill="1" applyBorder="1"/>
    <x:xf numFmtId="0" fontId="10" fillId="7" borderId="2" xfId="0" applyNumberFormat="1" applyFont="1" applyFill="1" applyBorder="1"/>
    <x:xf numFmtId="0" fontId="10" fillId="7" borderId="3" xfId="0" applyNumberFormat="1" applyFont="1" applyFill="1" applyBorder="1"/>
    <x:xf numFmtId="0" fontId="10" fillId="7" borderId="1" xfId="0" applyNumberFormat="1" applyFont="1" applyFill="1" applyBorder="1" applyAlignment="1">
      <x:alignment vertical="center"/>
    </x:xf>
    <x:xf numFmtId="0" fontId="10" fillId="7" borderId="2" xfId="0" applyNumberFormat="1" applyFont="1" applyFill="1" applyBorder="1" applyAlignment="1">
      <x:alignment vertical="center"/>
    </x:xf>
    <x:xf numFmtId="0" fontId="10" fillId="7" borderId="3" xfId="0" applyNumberFormat="1" applyFont="1" applyFill="1" applyBorder="1" applyAlignment="1">
      <x:alignment vertical="center"/>
    </x:xf>
    <x:xf numFmtId="200" fontId="10" fillId="7" borderId="1" xfId="0" applyNumberFormat="1" applyFont="1" applyFill="1" applyBorder="1" applyAlignment="1">
      <x:alignment vertical="center"/>
    </x:xf>
    <x:xf numFmtId="200" fontId="10" fillId="7" borderId="2" xfId="0" applyNumberFormat="1" applyFont="1" applyFill="1" applyBorder="1" applyAlignment="1">
      <x:alignment vertical="center"/>
    </x:xf>
    <x:xf numFmtId="200" fontId="10" fillId="7" borderId="3" xfId="0" applyNumberFormat="1" applyFont="1" applyFill="1" applyBorder="1" applyAlignment="1">
      <x:alignment vertical="center"/>
    </x:xf>
    <x:xf numFmtId="0" fontId="11" fillId="2" borderId="0" xfId="0" applyNumberFormat="1" applyFont="1" applyFill="1" applyBorder="1"/>
    <x:xf numFmtId="0" fontId="11" fillId="2" borderId="0" xfId="0" applyNumberFormat="1" applyFont="1" applyFill="1" applyBorder="1" applyAlignment="1">
      <x:alignment vertical="center"/>
    </x:xf>
    <x:xf numFmtId="0" fontId="12" fillId="4" borderId="0" xfId="0" applyNumberFormat="1" applyFont="1" applyFill="1" applyBorder="1"/>
    <x:xf numFmtId="0" fontId="12" fillId="4" borderId="0" xfId="0" applyNumberFormat="1" applyFont="1" applyFill="1" applyBorder="1" applyAlignment="1">
      <x:alignment wrapText="1"/>
    </x:xf>
    <x:xf numFmtId="0" fontId="13" fillId="5" borderId="0" xfId="0" applyNumberFormat="1" applyFont="1" applyFill="1" applyBorder="1"/>
    <x:xf numFmtId="0" fontId="13" fillId="5" borderId="0" xfId="0" applyNumberFormat="1" applyFont="1" applyFill="1" applyBorder="1" applyAlignment="1">
      <x:alignment wrapText="1"/>
    </x:xf>
    <x:xf numFmtId="0" fontId="14" fillId="7" borderId="0" xfId="0" applyNumberFormat="1" applyFont="1" applyFill="1" applyBorder="1"/>
    <x:xf numFmtId="0" fontId="14" fillId="7" borderId="0" xfId="0" applyNumberFormat="1" applyFont="1" applyFill="1" applyBorder="1" applyAlignment="1">
      <x:alignment wrapText="1"/>
    </x:xf>
    <x:xf numFmtId="0" fontId="0" fillId="8" borderId="0" xfId="0" applyNumberFormat="1" applyFont="1" applyFill="1" applyBorder="1"/>
    <x:xf numFmtId="0" fontId="15" fillId="8" borderId="0" xfId="0" applyNumberFormat="1" applyFont="1" applyFill="1" applyBorder="1"/>
    <x:xf numFmtId="0" fontId="15" fillId="8" borderId="0" xfId="0" applyNumberFormat="1" applyFont="1" applyFill="1" applyBorder="1" applyAlignment="1">
      <x:alignment wrapText="1"/>
    </x:xf>
    <x:xf numFmtId="0" fontId="0" fillId="9" borderId="0" xfId="0" applyNumberFormat="1" applyFont="1" applyFill="1" applyBorder="1"/>
    <x:xf numFmtId="0" fontId="16" fillId="9" borderId="0" xfId="0" applyNumberFormat="1" applyFont="1" applyFill="1" applyBorder="1"/>
    <x:xf numFmtId="0" fontId="16" fillId="9" borderId="4" xfId="0" applyNumberFormat="1" applyFont="1" applyFill="1" applyBorder="1"/>
    <x:xf numFmtId="0" fontId="16" fillId="9" borderId="5" xfId="0" applyNumberFormat="1" applyFont="1" applyFill="1" applyBorder="1"/>
    <x:xf numFmtId="0" fontId="16" fillId="9" borderId="6" xfId="0" applyNumberFormat="1" applyFont="1" applyFill="1" applyBorder="1"/>
    <x:xf numFmtId="0" fontId="16" fillId="9" borderId="4" xfId="0" applyNumberFormat="1" applyFont="1" applyFill="1" applyBorder="1" applyAlignment="1">
      <x:alignment wrapText="1"/>
    </x:xf>
    <x:xf numFmtId="0" fontId="16" fillId="9" borderId="5" xfId="0" applyNumberFormat="1" applyFont="1" applyFill="1" applyBorder="1" applyAlignment="1">
      <x:alignment wrapText="1"/>
    </x:xf>
    <x:xf numFmtId="0" fontId="16" fillId="9" borderId="6" xfId="0" applyNumberFormat="1" applyFont="1" applyFill="1" applyBorder="1" applyAlignment="1">
      <x:alignment wrapText="1"/>
    </x:xf>
    <x:xf numFmtId="0" fontId="16" fillId="9" borderId="4" xfId="0" applyNumberFormat="1" applyFont="1" applyFill="1" applyBorder="1" applyAlignment="1">
      <x:alignment vertical="center" wrapText="1"/>
    </x:xf>
    <x:xf numFmtId="0" fontId="16" fillId="9" borderId="5" xfId="0" applyNumberFormat="1" applyFont="1" applyFill="1" applyBorder="1" applyAlignment="1">
      <x:alignment vertical="center" wrapText="1"/>
    </x:xf>
    <x:xf numFmtId="0" fontId="16" fillId="9" borderId="6" xfId="0" applyNumberFormat="1" applyFont="1" applyFill="1" applyBorder="1" applyAlignment="1">
      <x:alignment vertical="center" wrapText="1"/>
    </x:xf>
    <x:xf numFmtId="0" fontId="17" fillId="0" borderId="0" xfId="0" applyNumberFormat="1" applyFont="1" applyFill="1" applyBorder="1"/>
    <x:xf numFmtId="0" fontId="17" fillId="0" borderId="7" xfId="0" applyNumberFormat="1" applyFont="1" applyFill="1" applyBorder="1"/>
    <x:xf numFmtId="0" fontId="17" fillId="0" borderId="2" xfId="0" applyNumberFormat="1" applyFont="1" applyFill="1" applyBorder="1"/>
    <x:xf numFmtId="0" fontId="17" fillId="0" borderId="7" xfId="0" applyNumberFormat="1" applyFont="1" applyFill="1" applyBorder="1" applyAlignment="1">
      <x:alignment wrapText="1"/>
    </x:xf>
    <x:xf numFmtId="0" fontId="17" fillId="0" borderId="2" xfId="0" applyNumberFormat="1" applyFont="1" applyFill="1" applyBorder="1" applyAlignment="1">
      <x:alignment wrapText="1"/>
    </x:xf>
    <x:xf numFmtId="0" fontId="17" fillId="0" borderId="7" xfId="0" applyNumberFormat="1" applyFont="1" applyFill="1" applyBorder="1" applyAlignment="1">
      <x:alignment vertical="top" wrapText="1"/>
    </x:xf>
    <x:xf numFmtId="0" fontId="17" fillId="0" borderId="2" xfId="0" applyNumberFormat="1" applyFont="1" applyFill="1" applyBorder="1" applyAlignment="1">
      <x:alignment vertical="top" wrapText="1"/>
    </x:xf>
    <x:xf numFmtId="201" fontId="17" fillId="0" borderId="7" xfId="0" applyNumberFormat="1" applyFont="1" applyFill="1" applyBorder="1" applyAlignment="1">
      <x:alignment vertical="top" wrapText="1"/>
    </x:xf>
    <x:xf numFmtId="201" fontId="17" fillId="0" borderId="2" xfId="0" applyNumberFormat="1" applyFont="1" applyFill="1" applyBorder="1" applyAlignment="1">
      <x:alignment vertical="top" wrapText="1"/>
    </x:xf>
    <x:xf numFmtId="201" fontId="0" fillId="0" borderId="0" xfId="0" applyNumberFormat="1" applyFont="1" applyFill="1" applyBorder="1"/>
    <x:xf numFmtId="200" fontId="17" fillId="0" borderId="7" xfId="0" applyNumberFormat="1" applyFont="1" applyFill="1" applyBorder="1" applyAlignment="1">
      <x:alignment vertical="top" wrapText="1"/>
    </x:xf>
    <x:xf numFmtId="200" fontId="17" fillId="0" borderId="2" xfId="0" applyNumberFormat="1" applyFont="1" applyFill="1" applyBorder="1" applyAlignment="1">
      <x:alignment vertical="top" wrapText="1"/>
    </x:xf>
    <x:xf numFmtId="200" fontId="0" fillId="0" borderId="0" xfId="0" applyNumberFormat="1" applyFont="1" applyFill="1" applyBorder="1"/>
    <x:xf numFmtId="0" fontId="18" fillId="2" borderId="0" xfId="0" applyNumberFormat="1" applyFont="1" applyFill="1" applyBorder="1"/>
    <x:xf numFmtId="0" fontId="18" fillId="2" borderId="0" xfId="0" applyNumberFormat="1" applyFont="1" applyFill="1" applyBorder="1" applyAlignment="1">
      <x:alignment vertical="center"/>
    </x:xf>
    <x:xf numFmtId="0" fontId="19" fillId="6" borderId="0" xfId="0" applyNumberFormat="1" applyFont="1" applyFill="1" applyBorder="1"/>
    <x:xf numFmtId="0" fontId="19" fillId="6" borderId="0" xfId="0" applyNumberFormat="1" applyFont="1" applyFill="1" applyBorder="1" applyAlignment="1">
      <x:alignment wrapText="1"/>
    </x:xf>
    <x:xf numFmtId="0" fontId="19" fillId="6" borderId="0" xfId="0" applyNumberFormat="1" applyFont="1" applyFill="1" applyBorder="1" applyAlignment="1">
      <x:alignment vertical="center" wrapText="1"/>
    </x:xf>
    <x:xf numFmtId="0" fontId="11" fillId="9" borderId="0" xfId="0" applyNumberFormat="1" applyFont="1" applyFill="1" applyBorder="1"/>
    <x:xf numFmtId="0" fontId="11" fillId="9" borderId="0" xfId="0" applyNumberFormat="1" applyFont="1" applyFill="1" applyBorder="1" applyAlignment="1">
      <x:alignment vertical="center"/>
    </x:xf>
    <x:xf numFmtId="0" fontId="20" fillId="0" borderId="0" xfId="0" applyNumberFormat="1" applyFont="1" applyFill="1" applyBorder="1"/>
    <x:xf numFmtId="0" fontId="20" fillId="0" borderId="7" xfId="0" applyNumberFormat="1" applyFont="1" applyFill="1" applyBorder="1"/>
    <x:xf numFmtId="0" fontId="20" fillId="0" borderId="2" xfId="0" applyNumberFormat="1" applyFont="1" applyFill="1" applyBorder="1"/>
    <x:xf numFmtId="0" fontId="20" fillId="0" borderId="7" xfId="0" applyNumberFormat="1" applyFont="1" applyFill="1" applyBorder="1" applyAlignment="1">
      <x:alignment wrapText="1"/>
    </x:xf>
    <x:xf numFmtId="0" fontId="20" fillId="0" borderId="2" xfId="0" applyNumberFormat="1" applyFont="1" applyFill="1" applyBorder="1" applyAlignment="1">
      <x:alignment wrapText="1"/>
    </x:xf>
    <x:xf numFmtId="0" fontId="20" fillId="0" borderId="7" xfId="0" applyNumberFormat="1" applyFont="1" applyFill="1" applyBorder="1" applyAlignment="1">
      <x:alignment vertical="top" wrapText="1"/>
    </x:xf>
    <x:xf numFmtId="0" fontId="20" fillId="0" borderId="2" xfId="0" applyNumberFormat="1" applyFont="1" applyFill="1" applyBorder="1" applyAlignment="1">
      <x:alignment vertical="top" wrapText="1"/>
    </x:xf>
    <x:xf numFmtId="201" fontId="20" fillId="0" borderId="7" xfId="0" applyNumberFormat="1" applyFont="1" applyFill="1" applyBorder="1" applyAlignment="1">
      <x:alignment vertical="top" wrapText="1"/>
    </x:xf>
    <x:xf numFmtId="201" fontId="20" fillId="0" borderId="2" xfId="0" applyNumberFormat="1" applyFont="1" applyFill="1" applyBorder="1" applyAlignment="1">
      <x:alignment vertical="top" wrapText="1"/>
    </x:xf>
    <x:xf numFmtId="0" fontId="20" fillId="3" borderId="7" xfId="0" applyNumberFormat="1" applyFont="1" applyFill="1" applyBorder="1" applyAlignment="1">
      <x:alignment vertical="top" wrapText="1"/>
    </x:xf>
    <x:xf numFmtId="0" fontId="20" fillId="3" borderId="2" xfId="0" applyNumberFormat="1" applyFont="1" applyFill="1" applyBorder="1" applyAlignment="1">
      <x:alignment vertical="top" wrapText="1"/>
    </x:xf>
    <x:xf numFmtId="0" fontId="21" fillId="3" borderId="7" xfId="0" applyNumberFormat="1" applyFont="1" applyFill="1" applyBorder="1" applyAlignment="1">
      <x:alignment vertical="top" wrapText="1"/>
    </x:xf>
    <x:xf numFmtId="0" fontId="21" fillId="3" borderId="2" xfId="0" applyNumberFormat="1" applyFont="1" applyFill="1" applyBorder="1" applyAlignment="1">
      <x:alignment vertical="top" wrapText="1"/>
    </x:xf>
  </x:cellXfs>
  <x:cellStyles count="1">
    <x:cellStyle name="Normal" xfId="0"/>
  </x:cellStyles>
  <x:dxfs count="5">
    <x:dxf>
      <x:font>
        <x:b/>
        <x:color rgb="FF17643B"/>
      </x:font>
      <x:fill>
        <x:patternFill patternType="solid">
          <x:bgColor rgb="FFDDF5E7"/>
        </x:patternFill>
      </x:fill>
    </x:dxf>
    <x:dxf>
      <x:font>
        <x:b/>
        <x:color rgb="FF1D4F91"/>
      </x:font>
      <x:fill>
        <x:patternFill patternType="solid">
          <x:bgColor rgb="FFDCEBFF"/>
        </x:patternFill>
      </x:fill>
    </x:dxf>
    <x:dxf>
      <x:font>
        <x:b/>
        <x:color rgb="FF9E2430"/>
      </x:font>
      <x:fill>
        <x:patternFill patternType="solid">
          <x:bgColor rgb="FFFDE3E5"/>
        </x:patternFill>
      </x:fill>
    </x:dxf>
    <x:dxf>
      <x:font>
        <x:b/>
        <x:color rgb="FF9E2430"/>
      </x:font>
      <x:fill>
        <x:patternFill patternType="solid">
          <x:bgColor rgb="FFFDE3E5"/>
        </x:patternFill>
      </x:fill>
    </x:dxf>
    <x:dxf>
      <x:font>
        <x:color rgb="FF535A66"/>
      </x:font>
      <x:fill>
        <x:patternFill patternType="solid">
          <x:bgColor rgb="FFEEF0F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cb2ffcd3e1a4ce1" /><Relationship Type="http://schemas.openxmlformats.org/officeDocument/2006/relationships/theme" Target="/xl/theme/theme1.xml" Id="Ra1d892e00d2f4208" /><Relationship Type="http://schemas.openxmlformats.org/officeDocument/2006/relationships/sharedStrings" Target="/xl/sharedStrings.xml" Id="R3e1b70c0240b4d1d" /><Relationship Type="http://schemas.openxmlformats.org/officeDocument/2006/relationships/worksheet" Target="/xl/worksheets/sheet1.xml" Id="Ra2e912736ec048bf" /><Relationship Type="http://schemas.openxmlformats.org/officeDocument/2006/relationships/worksheet" Target="/xl/worksheets/sheet2.xml" Id="R4b1b42aa808d497b" /></Relationships>
</file>

<file path=xl/tables/table1.xml><?xml version="1.0" encoding="utf-8"?>
<x:table xmlns:x="http://schemas.openxmlformats.org/spreadsheetml/2006/main" id="1" name="DirectorySubmissions" displayName="DirectorySubmissions" ref="A8:R17" headerRowCount="1" totalsRowCount="0" totalsRowShown="0">
  <x:autoFilter ref="A8:R17"/>
  <x:tableColumns count="18">
    <x:tableColumn id="1" name="Directory"/>
    <x:tableColumn id="2" name="Submission URL"/>
    <x:tableColumn id="3" name="Product URL"/>
    <x:tableColumn id="4" name="Method"/>
    <x:tableColumn id="5" name="Submitted / Attempted"/>
    <x:tableColumn id="6" name="Status"/>
    <x:tableColumn id="7" name="Listing Tier"/>
    <x:tableColumn id="8" name="Link Type"/>
    <x:tableColumn id="9" name="Review Timeline"/>
    <x:tableColumn id="10" name="Categories / Tags"/>
    <x:tableColumn id="11" name="Contact Email"/>
    <x:tableColumn id="12" name="Follow-up Date"/>
    <x:tableColumn id="13" name="Cost (USD)"/>
    <x:tableColumn id="14" name="Notes"/>
    <x:tableColumn id="15" name="Evidence / Source URL"/>
    <x:tableColumn id="16" name="Live Listing URL"/>
    <x:tableColumn id="17" name="Last Checked"/>
    <x:tableColumn id="18" name="Owner"/>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388f18e10a64509"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3" hidden="0" customWidth="1"/>
    <x:col min="3" max="3" width="26" hidden="0" customWidth="1"/>
    <x:col min="4" max="4" width="14" hidden="0" customWidth="1"/>
    <x:col min="5" max="5" width="14" hidden="0" customWidth="1"/>
    <x:col min="6" max="6" width="25" hidden="0" customWidth="1"/>
    <x:col min="7" max="7" width="12" hidden="0" customWidth="1"/>
    <x:col min="8" max="8" width="14" hidden="0" customWidth="1"/>
    <x:col min="9" max="9" width="24" hidden="0" customWidth="1"/>
    <x:col min="10" max="10" width="40" hidden="0" customWidth="1"/>
    <x:col min="11" max="11" width="25" hidden="0" customWidth="1"/>
    <x:col min="12" max="12" width="14" hidden="0" customWidth="1"/>
    <x:col min="13" max="13" width="12" hidden="0" customWidth="1"/>
    <x:col min="14" max="14" width="48" hidden="0" customWidth="1"/>
    <x:col min="15" max="15" width="34" hidden="0" customWidth="1"/>
    <x:col min="16" max="16" width="28" hidden="0" customWidth="1"/>
    <x:col min="17" max="17" width="14" hidden="0" customWidth="1"/>
    <x:col min="18" max="18" width="20" hidden="0" customWidth="1"/>
  </x:cols>
  <x:sheetData>
    <x:row r="1" ht="34" customHeight="1">
      <x:c r="A1" s="3" t="str">
        <x:v>Legal Arena — AI Directory Submission Tracker</x:v>
      </x:c>
      <x:c r="B1" s="3"/>
      <x:c r="C1" s="3"/>
      <x:c r="D1" s="3"/>
      <x:c r="E1" s="3"/>
      <x:c r="F1" s="3"/>
      <x:c r="G1" s="3"/>
      <x:c r="H1" s="3"/>
      <x:c r="I1" s="3"/>
      <x:c r="J1" s="3"/>
      <x:c r="K1" s="3"/>
      <x:c r="L1" s="3"/>
      <x:c r="M1" s="3"/>
      <x:c r="N1" s="3"/>
      <x:c r="O1" s="3"/>
      <x:c r="P1" s="3"/>
      <x:c r="Q1" s="3"/>
      <x:c r="R1" s="3"/>
    </x:row>
    <x:row r="2" ht="25" customHeight="1">
      <x:c r="A2" s="6" t="str">
        <x:v>Tracks every free AI-directory submission, review status, follow-up date, and live listing link. Last updated 2026-07-20.</x:v>
      </x:c>
      <x:c r="B2" s="6"/>
      <x:c r="C2" s="6"/>
      <x:c r="D2" s="6"/>
      <x:c r="E2" s="6"/>
      <x:c r="F2" s="6"/>
      <x:c r="G2" s="6"/>
      <x:c r="H2" s="6"/>
      <x:c r="I2" s="6"/>
      <x:c r="J2" s="6"/>
      <x:c r="K2" s="6"/>
      <x:c r="L2" s="6"/>
      <x:c r="M2" s="6"/>
      <x:c r="N2" s="6"/>
      <x:c r="O2" s="6"/>
      <x:c r="P2" s="6"/>
      <x:c r="Q2" s="6"/>
      <x:c r="R2" s="6"/>
    </x:row>
    <x:row r="4" ht="24" customHeight="1">
      <x:c r="A4" s="12" t="str">
        <x:v>Confirmed submissions</x:v>
      </x:c>
      <x:c r="B4" s="13"/>
      <x:c r="C4" s="14"/>
      <x:c r="D4" s="27" t="str">
        <x:v>Failed attempts</x:v>
      </x:c>
      <x:c r="E4" s="28"/>
      <x:c r="F4" s="29"/>
      <x:c r="G4" s="42" t="str">
        <x:v>Awaiting review</x:v>
      </x:c>
      <x:c r="H4" s="43"/>
      <x:c r="I4" s="44"/>
      <x:c r="J4" s="57" t="str">
        <x:v>Total spend</x:v>
      </x:c>
      <x:c r="K4" s="58"/>
      <x:c r="L4" s="59"/>
      <x:c r="N4" s="71" t="str">
        <x:v>Status key</x:v>
      </x:c>
      <x:c r="O4" s="71"/>
      <x:c r="P4" s="71"/>
      <x:c r="Q4" s="71"/>
      <x:c r="R4" s="71"/>
    </x:row>
    <x:row r="5" ht="24" customHeight="1">
      <x:c r="A5" s="19" t="n">
        <x:f>COUNTIF($F$9:$F$108,"Submitted - awaiting review")</x:f>
        <x:v>6</x:v>
      </x:c>
      <x:c r="B5" s="20"/>
      <x:c r="C5" s="21"/>
      <x:c r="D5" s="34" t="n">
        <x:f>COUNTIF($F$9:$F$108,"Failed - retry")</x:f>
        <x:v>3</x:v>
      </x:c>
      <x:c r="E5" s="35"/>
      <x:c r="F5" s="36"/>
      <x:c r="G5" s="49" t="n">
        <x:f>COUNTIF($F$9:$F$108,"Submitted - awaiting review")</x:f>
        <x:v>6</x:v>
      </x:c>
      <x:c r="H5" s="50"/>
      <x:c r="I5" s="51"/>
      <x:c r="J5" s="67" t="n">
        <x:f>SUM($M$9:$M$108)</x:f>
        <x:v>0</x:v>
      </x:c>
      <x:c r="K5" s="68"/>
      <x:c r="L5" s="69"/>
      <x:c r="N5" s="73" t="str">
        <x:v>Submitted — awaiting review</x:v>
      </x:c>
      <x:c r="O5" s="73"/>
      <x:c r="P5" s="73"/>
      <x:c r="Q5" s="75" t="str">
        <x:v>Failed — retry</x:v>
      </x:c>
      <x:c r="R5" s="75"/>
    </x:row>
    <x:row r="6">
      <x:c r="N6" s="77" t="str">
        <x:v>Approved — live</x:v>
      </x:c>
      <x:c r="O6" s="77"/>
      <x:c r="P6" s="77"/>
      <x:c r="Q6" s="80" t="str">
        <x:v>Rejected / skipped</x:v>
      </x:c>
      <x:c r="R6" s="80"/>
    </x:row>
    <x:row r="8" ht="34" customHeight="1">
      <x:c r="A8" s="89" t="str">
        <x:v>Directory</x:v>
      </x:c>
      <x:c r="B8" s="90" t="str">
        <x:v>Submission URL</x:v>
      </x:c>
      <x:c r="C8" s="90" t="str">
        <x:v>Product URL</x:v>
      </x:c>
      <x:c r="D8" s="90" t="str">
        <x:v>Method</x:v>
      </x:c>
      <x:c r="E8" s="90" t="str">
        <x:v>Submitted / Attempted</x:v>
      </x:c>
      <x:c r="F8" s="90" t="str">
        <x:v>Status</x:v>
      </x:c>
      <x:c r="G8" s="90" t="str">
        <x:v>Listing Tier</x:v>
      </x:c>
      <x:c r="H8" s="90" t="str">
        <x:v>Link Type</x:v>
      </x:c>
      <x:c r="I8" s="90" t="str">
        <x:v>Review Timeline</x:v>
      </x:c>
      <x:c r="J8" s="90" t="str">
        <x:v>Categories / Tags</x:v>
      </x:c>
      <x:c r="K8" s="90" t="str">
        <x:v>Contact Email</x:v>
      </x:c>
      <x:c r="L8" s="90" t="str">
        <x:v>Follow-up Date</x:v>
      </x:c>
      <x:c r="M8" s="90" t="str">
        <x:v>Cost (USD)</x:v>
      </x:c>
      <x:c r="N8" s="90" t="str">
        <x:v>Notes</x:v>
      </x:c>
      <x:c r="O8" s="90" t="str">
        <x:v>Evidence / Source URL</x:v>
      </x:c>
      <x:c r="P8" s="90" t="str">
        <x:v>Live Listing URL</x:v>
      </x:c>
      <x:c r="Q8" s="90" t="str">
        <x:v>Last Checked</x:v>
      </x:c>
      <x:c r="R8" s="91" t="str">
        <x:v>Owner</x:v>
      </x:c>
    </x:row>
    <x:row r="9" ht="58" customHeight="1">
      <x:c r="A9" s="97" t="str">
        <x:v>AI Kendra</x:v>
      </x:c>
      <x:c r="B9" s="97" t="str">
        <x:v>https://aikendra.com/submit/</x:v>
      </x:c>
      <x:c r="C9" s="97" t="str">
        <x:v>https://legalarena.app</x:v>
      </x:c>
      <x:c r="D9" s="97" t="str">
        <x:v>Web form</x:v>
      </x:c>
      <x:c r="E9" s="99" t="n">
        <x:v>46223</x:v>
      </x:c>
      <x:c r="F9" s="97" t="str">
        <x:v>Submitted - awaiting review</x:v>
      </x:c>
      <x:c r="G9" s="97" t="str">
        <x:v>Free</x:v>
      </x:c>
      <x:c r="H9" s="97" t="str">
        <x:v>Not stated</x:v>
      </x:c>
      <x:c r="I9" s="97" t="str">
        <x:v>Within 48 hours</x:v>
      </x:c>
      <x:c r="J9" s="97" t="str">
        <x:v>Research; Paid product; AI lawyer game; legal simulation; courtroom game; debate; legal reasoning</x:v>
      </x:c>
      <x:c r="K9" s="97" t="str">
        <x:v>divyanthj@gmail.com</x:v>
      </x:c>
      <x:c r="L9" s="99" t="n">
        <x:v>46225</x:v>
      </x:c>
      <x:c r="M9" s="102" t="n">
        <x:v>0</x:v>
      </x:c>
      <x:c r="N9" s="97" t="str">
        <x:v>Confirmed by the on-page message: Submission received. Review promised within 48 hours.</x:v>
      </x:c>
      <x:c r="O9" s="97" t="str">
        <x:v>https://aikendra.com/submit/</x:v>
      </x:c>
      <x:c r="P9" s="97" t="str"/>
      <x:c r="Q9" s="99" t="n">
        <x:v>46223</x:v>
      </x:c>
      <x:c r="R9" s="97" t="str">
        <x:v>Divyanth Jayaraj</x:v>
      </x:c>
    </x:row>
    <x:row r="10" ht="58" customHeight="1">
      <x:c r="A10" s="98" t="str">
        <x:v>The AI Way</x:v>
      </x:c>
      <x:c r="B10" s="98" t="str">
        <x:v>https://theaiway.net/product-submit/</x:v>
      </x:c>
      <x:c r="C10" s="98" t="str">
        <x:v>https://legalarena.app</x:v>
      </x:c>
      <x:c r="D10" s="98" t="str">
        <x:v>Web form</x:v>
      </x:c>
      <x:c r="E10" s="100" t="n">
        <x:v>46223</x:v>
      </x:c>
      <x:c r="F10" s="98" t="str">
        <x:v>Submitted - awaiting review</x:v>
      </x:c>
      <x:c r="G10" s="98" t="str">
        <x:v>Free</x:v>
      </x:c>
      <x:c r="H10" s="98" t="str">
        <x:v>Nofollow</x:v>
      </x:c>
      <x:c r="I10" s="98" t="str">
        <x:v>Normal queue; no guaranteed review time</x:v>
      </x:c>
      <x:c r="J10" s="98" t="str">
        <x:v>Best AI Tools for Business; Best AI Tools for Students</x:v>
      </x:c>
      <x:c r="K10" s="98" t="str">
        <x:v>divyanthj@gmail.com</x:v>
      </x:c>
      <x:c r="L10" s="100" t="n">
        <x:v>46237</x:v>
      </x:c>
      <x:c r="M10" s="103" t="n">
        <x:v>0</x:v>
      </x:c>
      <x:c r="N10" s="98" t="str">
        <x:v>Free submission confirmed. Permanent listing if approved; no badge or reciprocal backlink required.</x:v>
      </x:c>
      <x:c r="O10" s="98" t="str">
        <x:v>https://theaiway.net/product-submit/</x:v>
      </x:c>
      <x:c r="P10" s="98" t="str"/>
      <x:c r="Q10" s="100" t="n">
        <x:v>46223</x:v>
      </x:c>
      <x:c r="R10" s="98" t="str">
        <x:v>Divyanth Jayaraj</x:v>
      </x:c>
    </x:row>
    <x:row r="11" ht="58" customHeight="1">
      <x:c r="A11" s="98" t="str">
        <x:v>AI41</x:v>
      </x:c>
      <x:c r="B11" s="98" t="str">
        <x:v>https://ai41.org/submit-ai</x:v>
      </x:c>
      <x:c r="C11" s="98" t="str">
        <x:v>https://legalarena.app</x:v>
      </x:c>
      <x:c r="D11" s="98" t="str">
        <x:v>Email</x:v>
      </x:c>
      <x:c r="E11" s="100" t="n">
        <x:v>46223</x:v>
      </x:c>
      <x:c r="F11" s="98" t="str">
        <x:v>Submitted - awaiting review</x:v>
      </x:c>
      <x:c r="G11" s="98" t="str">
        <x:v>Free</x:v>
      </x:c>
      <x:c r="H11" s="98" t="str">
        <x:v>Not stated</x:v>
      </x:c>
      <x:c r="I11" s="98" t="str">
        <x:v>Manual review; usually a few days</x:v>
      </x:c>
      <x:c r="J11" s="98" t="str">
        <x:v>Legal; Gaming; Education; Generative AI</x:v>
      </x:c>
      <x:c r="K11" s="98" t="str">
        <x:v>divyanthj@gmail.com</x:v>
      </x:c>
      <x:c r="L11" s="100" t="n">
        <x:v>46230</x:v>
      </x:c>
      <x:c r="M11" s="103" t="n">
        <x:v>0</x:v>
      </x:c>
      <x:c r="N11" s="98" t="str">
        <x:v>Submission email sent to info@ai41.org. Gmail message ID: 19f7eb0804d5f4b0.</x:v>
      </x:c>
      <x:c r="O11" s="98" t="str">
        <x:v>https://ai41.org/submit-ai</x:v>
      </x:c>
      <x:c r="P11" s="98" t="str"/>
      <x:c r="Q11" s="100" t="n">
        <x:v>46223</x:v>
      </x:c>
      <x:c r="R11" s="98" t="str">
        <x:v>Divyanth Jayaraj</x:v>
      </x:c>
    </x:row>
    <x:row r="12" ht="58" customHeight="1">
      <x:c r="A12" s="98" t="str">
        <x:v>Toolsland.ai</x:v>
      </x:c>
      <x:c r="B12" s="98" t="str">
        <x:v>https://www.toolsland.ai/submit-ai-tool-free</x:v>
      </x:c>
      <x:c r="C12" s="98" t="str">
        <x:v>https://legalarena.app</x:v>
      </x:c>
      <x:c r="D12" s="98" t="str">
        <x:v>Web form</x:v>
      </x:c>
      <x:c r="E12" s="100" t="n">
        <x:v>46223</x:v>
      </x:c>
      <x:c r="F12" s="98" t="str">
        <x:v>Failed - retry</x:v>
      </x:c>
      <x:c r="G12" s="98" t="str">
        <x:v>Free</x:v>
      </x:c>
      <x:c r="H12" s="98" t="str">
        <x:v>Not applicable</x:v>
      </x:c>
      <x:c r="I12" s="98" t="str">
        <x:v>Form malfunctioned</x:v>
      </x:c>
      <x:c r="J12" s="98" t="str">
        <x:v>Application; Conversational AI; Generative AI; Web; Text; Paid; SaaS; Education; Entertainment; Gaming; Legal</x:v>
      </x:c>
      <x:c r="K12" s="98" t="str">
        <x:v>divyanthj@gmail.com</x:v>
      </x:c>
      <x:c r="L12" s="100" t="n">
        <x:v>46230</x:v>
      </x:c>
      <x:c r="M12" s="103" t="n">
        <x:v>0</x:v>
      </x:c>
      <x:c r="N12" s="98" t="str">
        <x:v>Form was completed, but the logo uploader and final submit action malfunctioned. No confirmed submission was created.</x:v>
      </x:c>
      <x:c r="O12" s="98" t="str">
        <x:v>https://www.toolsland.ai/submit-ai-tool-free</x:v>
      </x:c>
      <x:c r="P12" s="98" t="str"/>
      <x:c r="Q12" s="100" t="n">
        <x:v>46223</x:v>
      </x:c>
      <x:c r="R12" s="98" t="str">
        <x:v>Divyanth Jayaraj</x:v>
      </x:c>
    </x:row>
    <x:row r="13" ht="58" customHeight="1">
      <x:c r="A13" s="98" t="str">
        <x:v>AI Suggests</x:v>
      </x:c>
      <x:c r="B13" s="98" t="str">
        <x:v>https://aisuggests.ai/submit</x:v>
      </x:c>
      <x:c r="C13" s="98" t="str">
        <x:v>https://legalarena.app</x:v>
      </x:c>
      <x:c r="D13" s="98" t="str">
        <x:v>Web form</x:v>
      </x:c>
      <x:c r="E13" s="100" t="n">
        <x:v>46223</x:v>
      </x:c>
      <x:c r="F13" s="98" t="str">
        <x:v>Submitted - awaiting review</x:v>
      </x:c>
      <x:c r="G13" s="98" t="str">
        <x:v>Free</x:v>
      </x:c>
      <x:c r="H13" s="98" t="str">
        <x:v>Not stated</x:v>
      </x:c>
      <x:c r="I13" s="98" t="str">
        <x:v>Within 7 business days</x:v>
      </x:c>
      <x:c r="J13" s="98" t="str">
        <x:v>Legal &amp; Compliance</x:v>
      </x:c>
      <x:c r="K13" s="98" t="str">
        <x:v>divyanthj@gmail.com</x:v>
      </x:c>
      <x:c r="L13" s="100" t="n">
        <x:v>46232</x:v>
      </x:c>
      <x:c r="M13" s="103" t="n">
        <x:v>0</x:v>
      </x:c>
      <x:c r="N13" s="98" t="str">
        <x:v>On-page confirmation received: editorial review is performed weekly; approved tools are listed within 7 business days.</x:v>
      </x:c>
      <x:c r="O13" s="98" t="str">
        <x:v>https://aisuggests.ai/submit</x:v>
      </x:c>
      <x:c r="P13" s="98" t="str"/>
      <x:c r="Q13" s="100" t="n">
        <x:v>46223</x:v>
      </x:c>
      <x:c r="R13" s="98" t="str">
        <x:v>Divyanth Jayaraj</x:v>
      </x:c>
    </x:row>
    <x:row r="14" ht="58" customHeight="1">
      <x:c r="A14" s="98" t="str">
        <x:v>EveryAI</x:v>
      </x:c>
      <x:c r="B14" s="98" t="str">
        <x:v>https://every-ai.com/submit</x:v>
      </x:c>
      <x:c r="C14" s="98" t="str">
        <x:v>https://legalarena.app</x:v>
      </x:c>
      <x:c r="D14" s="98" t="str">
        <x:v>Account submission</x:v>
      </x:c>
      <x:c r="E14" s="100" t="n">
        <x:v>46223</x:v>
      </x:c>
      <x:c r="F14" s="98" t="str">
        <x:v>Failed - retry</x:v>
      </x:c>
      <x:c r="G14" s="98" t="str">
        <x:v>Free</x:v>
      </x:c>
      <x:c r="H14" s="98" t="str">
        <x:v>Nofollow</x:v>
      </x:c>
      <x:c r="I14" s="98" t="str">
        <x:v>Auto-approved after 48 hours once submitted</x:v>
      </x:c>
      <x:c r="J14" s="98" t="str">
        <x:v>AI tools directory</x:v>
      </x:c>
      <x:c r="K14" s="98" t="str">
        <x:v>divyanthj@gmail.com</x:v>
      </x:c>
      <x:c r="L14" s="100" t="n">
        <x:v>46230</x:v>
      </x:c>
      <x:c r="M14" s="103" t="n">
        <x:v>0</x:v>
      </x:c>
      <x:c r="N14" s="98" t="str">
        <x:v>Free Standard listing verified, but the submission form requires a logged-in account. No submission was created.</x:v>
      </x:c>
      <x:c r="O14" s="98" t="str">
        <x:v>https://every-ai.com/submit</x:v>
      </x:c>
      <x:c r="P14" s="98" t="str"/>
      <x:c r="Q14" s="100" t="n">
        <x:v>46223</x:v>
      </x:c>
      <x:c r="R14" s="98" t="str">
        <x:v>Divyanth Jayaraj</x:v>
      </x:c>
    </x:row>
    <x:row r="15" ht="58" customHeight="1">
      <x:c r="A15" s="98" t="str">
        <x:v>cosmos369</x:v>
      </x:c>
      <x:c r="B15" s="98" t="str">
        <x:v>https://cosmos369.com/submit</x:v>
      </x:c>
      <x:c r="C15" s="98" t="str">
        <x:v>https://legalarena.app</x:v>
      </x:c>
      <x:c r="D15" s="98" t="str">
        <x:v>Web form</x:v>
      </x:c>
      <x:c r="E15" s="100" t="n">
        <x:v>46223</x:v>
      </x:c>
      <x:c r="F15" s="98" t="str">
        <x:v>Failed - retry</x:v>
      </x:c>
      <x:c r="G15" s="98" t="str">
        <x:v>Free</x:v>
      </x:c>
      <x:c r="H15" s="98" t="str">
        <x:v>Not stated</x:v>
      </x:c>
      <x:c r="I15" s="98" t="str">
        <x:v>Editorial review after service is restored</x:v>
      </x:c>
      <x:c r="J15" s="98" t="str">
        <x:v>AI tools directory</x:v>
      </x:c>
      <x:c r="K15" s="98" t="str">
        <x:v>divyanthj@gmail.com</x:v>
      </x:c>
      <x:c r="L15" s="100" t="n">
        <x:v>46230</x:v>
      </x:c>
      <x:c r="M15" s="103" t="n">
        <x:v>0</x:v>
      </x:c>
      <x:c r="N15" s="98" t="str">
        <x:v>Submission page was unavailable: deployment temporarily paused (code bom1::csd5q-1784538288566-1152c116bd33). No submission was created.</x:v>
      </x:c>
      <x:c r="O15" s="98" t="str">
        <x:v>https://cosmos369.com/submit</x:v>
      </x:c>
      <x:c r="P15" s="98" t="str"/>
      <x:c r="Q15" s="100" t="n">
        <x:v>46223</x:v>
      </x:c>
      <x:c r="R15" s="98" t="str">
        <x:v>Divyanth Jayaraj</x:v>
      </x:c>
    </x:row>
    <x:row r="16" ht="58" customHeight="1">
      <x:c r="A16" s="98" t="str">
        <x:v>AI Tools</x:v>
      </x:c>
      <x:c r="B16" s="98" t="str">
        <x:v>https://aitools.inc/submit</x:v>
      </x:c>
      <x:c r="C16" s="98" t="str">
        <x:v>https://legalarena.app</x:v>
      </x:c>
      <x:c r="D16" s="98" t="str">
        <x:v>Web form</x:v>
      </x:c>
      <x:c r="E16" s="100" t="n">
        <x:v>46223</x:v>
      </x:c>
      <x:c r="F16" s="98" t="str">
        <x:v>Submitted - awaiting review</x:v>
      </x:c>
      <x:c r="G16" s="98" t="str">
        <x:v>Free</x:v>
      </x:c>
      <x:c r="H16" s="98" t="str">
        <x:v>Not stated</x:v>
      </x:c>
      <x:c r="I16" s="98" t="str">
        <x:v>Free queue: 30-90 days</x:v>
      </x:c>
      <x:c r="J16" s="98" t="str">
        <x:v>AI tools directory</x:v>
      </x:c>
      <x:c r="K16" s="98" t="str">
        <x:v>divyanthj@gmail.com</x:v>
      </x:c>
      <x:c r="L16" s="100" t="n">
        <x:v>46230</x:v>
      </x:c>
      <x:c r="M16" s="103" t="n">
        <x:v>0</x:v>
      </x:c>
      <x:c r="N16" s="98" t="str">
        <x:v>Free Typeform submitted successfully. Confirmation says the team will be in touch over the next few days to proceed with the listing.</x:v>
      </x:c>
      <x:c r="O16" s="98" t="str">
        <x:v>https://loxr142exnq.typeform.com/to/RB6ZnEf2</x:v>
      </x:c>
      <x:c r="P16" s="98" t="str"/>
      <x:c r="Q16" s="100" t="n">
        <x:v>46223</x:v>
      </x:c>
      <x:c r="R16" s="98" t="str">
        <x:v>Divyanth Jayaraj</x:v>
      </x:c>
    </x:row>
    <x:row r="17" ht="58" customHeight="1">
      <x:c r="A17" s="98" t="str">
        <x:v>NavTools AI</x:v>
      </x:c>
      <x:c r="B17" s="98" t="str">
        <x:v>https://navtools.ai/submit</x:v>
      </x:c>
      <x:c r="C17" s="98" t="str">
        <x:v>https://legalarena.app</x:v>
      </x:c>
      <x:c r="D17" s="98" t="str">
        <x:v>Web form</x:v>
      </x:c>
      <x:c r="E17" s="100" t="n">
        <x:v>46223</x:v>
      </x:c>
      <x:c r="F17" s="98" t="str">
        <x:v>Submitted - awaiting review</x:v>
      </x:c>
      <x:c r="G17" s="98" t="str">
        <x:v>Free</x:v>
      </x:c>
      <x:c r="H17" s="98" t="str">
        <x:v>Not stated</x:v>
      </x:c>
      <x:c r="I17" s="98" t="str">
        <x:v>Basic review: 30-90 days</x:v>
      </x:c>
      <x:c r="J17" s="98" t="str">
        <x:v>AI tools directory</x:v>
      </x:c>
      <x:c r="K17" s="98" t="str">
        <x:v>divyanthj@gmail.com</x:v>
      </x:c>
      <x:c r="L17" s="100" t="n">
        <x:v>46253</x:v>
      </x:c>
      <x:c r="M17" s="103" t="n">
        <x:v>0</x:v>
      </x:c>
      <x:c r="N17" s="98" t="str">
        <x:v>Basic $0 submission confirmed. Paid Fast Track upsell was declined; the site displayed Submission Successful.</x:v>
      </x:c>
      <x:c r="O17" s="98" t="str">
        <x:v>https://navtools.ai/submit</x:v>
      </x:c>
      <x:c r="P17" s="98" t="str"/>
      <x:c r="Q17" s="100" t="n">
        <x:v>46223</x:v>
      </x:c>
      <x:c r="R17" s="98" t="str">
        <x:v>Divyanth Jayaraj</x:v>
      </x:c>
    </x:row>
    <x:row r="18">
      <x:c r="E18" s="101"/>
      <x:c r="L18" s="101"/>
      <x:c r="M18" s="104"/>
      <x:c r="Q18" s="101"/>
    </x:row>
    <x:row r="19">
      <x:c r="E19" s="101"/>
      <x:c r="L19" s="101"/>
      <x:c r="M19" s="104"/>
      <x:c r="Q19" s="101"/>
    </x:row>
    <x:row r="20">
      <x:c r="E20" s="101"/>
      <x:c r="L20" s="101"/>
      <x:c r="M20" s="104"/>
      <x:c r="Q20" s="101"/>
    </x:row>
    <x:row r="21">
      <x:c r="E21" s="101"/>
      <x:c r="L21" s="101"/>
      <x:c r="M21" s="104"/>
      <x:c r="Q21" s="101"/>
    </x:row>
    <x:row r="22">
      <x:c r="E22" s="101"/>
      <x:c r="L22" s="101"/>
      <x:c r="M22" s="104"/>
      <x:c r="Q22" s="101"/>
    </x:row>
    <x:row r="23">
      <x:c r="E23" s="101"/>
      <x:c r="L23" s="101"/>
      <x:c r="M23" s="104"/>
      <x:c r="Q23" s="101"/>
    </x:row>
    <x:row r="24">
      <x:c r="E24" s="101"/>
      <x:c r="L24" s="101"/>
      <x:c r="M24" s="104"/>
      <x:c r="Q24" s="101"/>
    </x:row>
    <x:row r="25">
      <x:c r="E25" s="101"/>
      <x:c r="L25" s="101"/>
      <x:c r="M25" s="104"/>
      <x:c r="Q25" s="101"/>
    </x:row>
    <x:row r="26">
      <x:c r="E26" s="101"/>
      <x:c r="L26" s="101"/>
      <x:c r="M26" s="104"/>
      <x:c r="Q26" s="101"/>
    </x:row>
    <x:row r="27">
      <x:c r="E27" s="101"/>
      <x:c r="L27" s="101"/>
      <x:c r="M27" s="104"/>
      <x:c r="Q27" s="101"/>
    </x:row>
    <x:row r="28">
      <x:c r="E28" s="101"/>
      <x:c r="L28" s="101"/>
      <x:c r="M28" s="104"/>
      <x:c r="Q28" s="101"/>
    </x:row>
    <x:row r="29">
      <x:c r="E29" s="101"/>
      <x:c r="L29" s="101"/>
      <x:c r="M29" s="104"/>
      <x:c r="Q29" s="101"/>
    </x:row>
    <x:row r="30">
      <x:c r="E30" s="101"/>
      <x:c r="L30" s="101"/>
      <x:c r="M30" s="104"/>
      <x:c r="Q30" s="101"/>
    </x:row>
    <x:row r="31">
      <x:c r="E31" s="101"/>
      <x:c r="L31" s="101"/>
      <x:c r="M31" s="104"/>
      <x:c r="Q31" s="101"/>
    </x:row>
    <x:row r="32">
      <x:c r="E32" s="101"/>
      <x:c r="L32" s="101"/>
      <x:c r="M32" s="104"/>
      <x:c r="Q32" s="101"/>
    </x:row>
    <x:row r="33">
      <x:c r="E33" s="101"/>
      <x:c r="L33" s="101"/>
      <x:c r="M33" s="104"/>
      <x:c r="Q33" s="101"/>
    </x:row>
    <x:row r="34">
      <x:c r="E34" s="101"/>
      <x:c r="L34" s="101"/>
      <x:c r="M34" s="104"/>
      <x:c r="Q34" s="101"/>
    </x:row>
    <x:row r="35">
      <x:c r="E35" s="101"/>
      <x:c r="L35" s="101"/>
      <x:c r="M35" s="104"/>
      <x:c r="Q35" s="101"/>
    </x:row>
    <x:row r="36">
      <x:c r="E36" s="101"/>
      <x:c r="L36" s="101"/>
      <x:c r="M36" s="104"/>
      <x:c r="Q36" s="101"/>
    </x:row>
    <x:row r="37">
      <x:c r="E37" s="101"/>
      <x:c r="L37" s="101"/>
      <x:c r="M37" s="104"/>
      <x:c r="Q37" s="101"/>
    </x:row>
    <x:row r="38">
      <x:c r="E38" s="101"/>
      <x:c r="L38" s="101"/>
      <x:c r="M38" s="104"/>
      <x:c r="Q38" s="101"/>
    </x:row>
    <x:row r="39">
      <x:c r="E39" s="101"/>
      <x:c r="L39" s="101"/>
      <x:c r="M39" s="104"/>
      <x:c r="Q39" s="101"/>
    </x:row>
    <x:row r="40">
      <x:c r="E40" s="101"/>
      <x:c r="L40" s="101"/>
      <x:c r="M40" s="104"/>
      <x:c r="Q40" s="101"/>
    </x:row>
    <x:row r="41">
      <x:c r="E41" s="101"/>
      <x:c r="L41" s="101"/>
      <x:c r="M41" s="104"/>
      <x:c r="Q41" s="101"/>
    </x:row>
    <x:row r="42">
      <x:c r="E42" s="101"/>
      <x:c r="L42" s="101"/>
      <x:c r="M42" s="104"/>
      <x:c r="Q42" s="101"/>
    </x:row>
    <x:row r="43">
      <x:c r="E43" s="101"/>
      <x:c r="L43" s="101"/>
      <x:c r="M43" s="104"/>
      <x:c r="Q43" s="101"/>
    </x:row>
    <x:row r="44">
      <x:c r="E44" s="101"/>
      <x:c r="L44" s="101"/>
      <x:c r="M44" s="104"/>
      <x:c r="Q44" s="101"/>
    </x:row>
    <x:row r="45">
      <x:c r="E45" s="101"/>
      <x:c r="L45" s="101"/>
      <x:c r="M45" s="104"/>
      <x:c r="Q45" s="101"/>
    </x:row>
    <x:row r="46">
      <x:c r="E46" s="101"/>
      <x:c r="L46" s="101"/>
      <x:c r="M46" s="104"/>
      <x:c r="Q46" s="101"/>
    </x:row>
    <x:row r="47">
      <x:c r="E47" s="101"/>
      <x:c r="L47" s="101"/>
      <x:c r="M47" s="104"/>
      <x:c r="Q47" s="101"/>
    </x:row>
    <x:row r="48">
      <x:c r="E48" s="101"/>
      <x:c r="L48" s="101"/>
      <x:c r="M48" s="104"/>
      <x:c r="Q48" s="101"/>
    </x:row>
    <x:row r="49">
      <x:c r="E49" s="101"/>
      <x:c r="L49" s="101"/>
      <x:c r="M49" s="104"/>
      <x:c r="Q49" s="101"/>
    </x:row>
    <x:row r="50">
      <x:c r="E50" s="101"/>
      <x:c r="L50" s="101"/>
      <x:c r="M50" s="104"/>
      <x:c r="Q50" s="101"/>
    </x:row>
    <x:row r="51">
      <x:c r="E51" s="101"/>
      <x:c r="L51" s="101"/>
      <x:c r="M51" s="104"/>
      <x:c r="Q51" s="101"/>
    </x:row>
    <x:row r="52">
      <x:c r="E52" s="101"/>
      <x:c r="L52" s="101"/>
      <x:c r="M52" s="104"/>
      <x:c r="Q52" s="101"/>
    </x:row>
    <x:row r="53">
      <x:c r="E53" s="101"/>
      <x:c r="L53" s="101"/>
      <x:c r="M53" s="104"/>
      <x:c r="Q53" s="101"/>
    </x:row>
    <x:row r="54">
      <x:c r="E54" s="101"/>
      <x:c r="L54" s="101"/>
      <x:c r="M54" s="104"/>
      <x:c r="Q54" s="101"/>
    </x:row>
    <x:row r="55">
      <x:c r="E55" s="101"/>
      <x:c r="L55" s="101"/>
      <x:c r="M55" s="104"/>
      <x:c r="Q55" s="101"/>
    </x:row>
    <x:row r="56">
      <x:c r="E56" s="101"/>
      <x:c r="L56" s="101"/>
      <x:c r="M56" s="104"/>
      <x:c r="Q56" s="101"/>
    </x:row>
    <x:row r="57">
      <x:c r="E57" s="101"/>
      <x:c r="L57" s="101"/>
      <x:c r="M57" s="104"/>
      <x:c r="Q57" s="101"/>
    </x:row>
    <x:row r="58">
      <x:c r="E58" s="101"/>
      <x:c r="L58" s="101"/>
      <x:c r="M58" s="104"/>
      <x:c r="Q58" s="101"/>
    </x:row>
    <x:row r="59">
      <x:c r="E59" s="101"/>
      <x:c r="L59" s="101"/>
      <x:c r="M59" s="104"/>
      <x:c r="Q59" s="101"/>
    </x:row>
    <x:row r="60">
      <x:c r="E60" s="101"/>
      <x:c r="L60" s="101"/>
      <x:c r="M60" s="104"/>
      <x:c r="Q60" s="101"/>
    </x:row>
    <x:row r="61">
      <x:c r="E61" s="101"/>
      <x:c r="L61" s="101"/>
      <x:c r="M61" s="104"/>
      <x:c r="Q61" s="101"/>
    </x:row>
    <x:row r="62">
      <x:c r="E62" s="101"/>
      <x:c r="L62" s="101"/>
      <x:c r="M62" s="104"/>
      <x:c r="Q62" s="101"/>
    </x:row>
    <x:row r="63">
      <x:c r="E63" s="101"/>
      <x:c r="L63" s="101"/>
      <x:c r="M63" s="104"/>
      <x:c r="Q63" s="101"/>
    </x:row>
    <x:row r="64">
      <x:c r="E64" s="101"/>
      <x:c r="L64" s="101"/>
      <x:c r="M64" s="104"/>
      <x:c r="Q64" s="101"/>
    </x:row>
    <x:row r="65">
      <x:c r="E65" s="101"/>
      <x:c r="L65" s="101"/>
      <x:c r="M65" s="104"/>
      <x:c r="Q65" s="101"/>
    </x:row>
    <x:row r="66">
      <x:c r="E66" s="101"/>
      <x:c r="L66" s="101"/>
      <x:c r="M66" s="104"/>
      <x:c r="Q66" s="101"/>
    </x:row>
    <x:row r="67">
      <x:c r="E67" s="101"/>
      <x:c r="L67" s="101"/>
      <x:c r="M67" s="104"/>
      <x:c r="Q67" s="101"/>
    </x:row>
    <x:row r="68">
      <x:c r="E68" s="101"/>
      <x:c r="L68" s="101"/>
      <x:c r="M68" s="104"/>
      <x:c r="Q68" s="101"/>
    </x:row>
    <x:row r="69">
      <x:c r="E69" s="101"/>
      <x:c r="L69" s="101"/>
      <x:c r="M69" s="104"/>
      <x:c r="Q69" s="101"/>
    </x:row>
    <x:row r="70">
      <x:c r="E70" s="101"/>
      <x:c r="L70" s="101"/>
      <x:c r="M70" s="104"/>
      <x:c r="Q70" s="101"/>
    </x:row>
    <x:row r="71">
      <x:c r="E71" s="101"/>
      <x:c r="L71" s="101"/>
      <x:c r="M71" s="104"/>
      <x:c r="Q71" s="101"/>
    </x:row>
    <x:row r="72">
      <x:c r="E72" s="101"/>
      <x:c r="L72" s="101"/>
      <x:c r="M72" s="104"/>
      <x:c r="Q72" s="101"/>
    </x:row>
    <x:row r="73">
      <x:c r="E73" s="101"/>
      <x:c r="L73" s="101"/>
      <x:c r="M73" s="104"/>
      <x:c r="Q73" s="101"/>
    </x:row>
    <x:row r="74">
      <x:c r="E74" s="101"/>
      <x:c r="L74" s="101"/>
      <x:c r="M74" s="104"/>
      <x:c r="Q74" s="101"/>
    </x:row>
    <x:row r="75">
      <x:c r="E75" s="101"/>
      <x:c r="L75" s="101"/>
      <x:c r="M75" s="104"/>
      <x:c r="Q75" s="101"/>
    </x:row>
    <x:row r="76">
      <x:c r="E76" s="101"/>
      <x:c r="L76" s="101"/>
      <x:c r="M76" s="104"/>
      <x:c r="Q76" s="101"/>
    </x:row>
    <x:row r="77">
      <x:c r="E77" s="101"/>
      <x:c r="L77" s="101"/>
      <x:c r="M77" s="104"/>
      <x:c r="Q77" s="101"/>
    </x:row>
    <x:row r="78">
      <x:c r="E78" s="101"/>
      <x:c r="L78" s="101"/>
      <x:c r="M78" s="104"/>
      <x:c r="Q78" s="101"/>
    </x:row>
    <x:row r="79">
      <x:c r="E79" s="101"/>
      <x:c r="L79" s="101"/>
      <x:c r="M79" s="104"/>
      <x:c r="Q79" s="101"/>
    </x:row>
    <x:row r="80">
      <x:c r="E80" s="101"/>
      <x:c r="L80" s="101"/>
      <x:c r="M80" s="104"/>
      <x:c r="Q80" s="101"/>
    </x:row>
    <x:row r="81">
      <x:c r="E81" s="101"/>
      <x:c r="L81" s="101"/>
      <x:c r="M81" s="104"/>
      <x:c r="Q81" s="101"/>
    </x:row>
    <x:row r="82">
      <x:c r="E82" s="101"/>
      <x:c r="L82" s="101"/>
      <x:c r="M82" s="104"/>
      <x:c r="Q82" s="101"/>
    </x:row>
    <x:row r="83">
      <x:c r="E83" s="101"/>
      <x:c r="L83" s="101"/>
      <x:c r="M83" s="104"/>
      <x:c r="Q83" s="101"/>
    </x:row>
    <x:row r="84">
      <x:c r="E84" s="101"/>
      <x:c r="L84" s="101"/>
      <x:c r="M84" s="104"/>
      <x:c r="Q84" s="101"/>
    </x:row>
    <x:row r="85">
      <x:c r="E85" s="101"/>
      <x:c r="L85" s="101"/>
      <x:c r="M85" s="104"/>
      <x:c r="Q85" s="101"/>
    </x:row>
    <x:row r="86">
      <x:c r="E86" s="101"/>
      <x:c r="L86" s="101"/>
      <x:c r="M86" s="104"/>
      <x:c r="Q86" s="101"/>
    </x:row>
    <x:row r="87">
      <x:c r="E87" s="101"/>
      <x:c r="L87" s="101"/>
      <x:c r="M87" s="104"/>
      <x:c r="Q87" s="101"/>
    </x:row>
    <x:row r="88">
      <x:c r="E88" s="101"/>
      <x:c r="L88" s="101"/>
      <x:c r="M88" s="104"/>
      <x:c r="Q88" s="101"/>
    </x:row>
    <x:row r="89">
      <x:c r="E89" s="101"/>
      <x:c r="L89" s="101"/>
      <x:c r="M89" s="104"/>
      <x:c r="Q89" s="101"/>
    </x:row>
    <x:row r="90">
      <x:c r="E90" s="101"/>
      <x:c r="L90" s="101"/>
      <x:c r="M90" s="104"/>
      <x:c r="Q90" s="101"/>
    </x:row>
    <x:row r="91">
      <x:c r="E91" s="101"/>
      <x:c r="L91" s="101"/>
      <x:c r="M91" s="104"/>
      <x:c r="Q91" s="101"/>
    </x:row>
    <x:row r="92">
      <x:c r="E92" s="101"/>
      <x:c r="L92" s="101"/>
      <x:c r="M92" s="104"/>
      <x:c r="Q92" s="101"/>
    </x:row>
    <x:row r="93">
      <x:c r="E93" s="101"/>
      <x:c r="L93" s="101"/>
      <x:c r="M93" s="104"/>
      <x:c r="Q93" s="101"/>
    </x:row>
    <x:row r="94">
      <x:c r="E94" s="101"/>
      <x:c r="L94" s="101"/>
      <x:c r="M94" s="104"/>
      <x:c r="Q94" s="101"/>
    </x:row>
    <x:row r="95">
      <x:c r="E95" s="101"/>
      <x:c r="L95" s="101"/>
      <x:c r="M95" s="104"/>
      <x:c r="Q95" s="101"/>
    </x:row>
    <x:row r="96">
      <x:c r="E96" s="101"/>
      <x:c r="L96" s="101"/>
      <x:c r="M96" s="104"/>
      <x:c r="Q96" s="101"/>
    </x:row>
    <x:row r="97">
      <x:c r="E97" s="101"/>
      <x:c r="L97" s="101"/>
      <x:c r="M97" s="104"/>
      <x:c r="Q97" s="101"/>
    </x:row>
    <x:row r="98">
      <x:c r="E98" s="101"/>
      <x:c r="L98" s="101"/>
      <x:c r="M98" s="104"/>
      <x:c r="Q98" s="101"/>
    </x:row>
    <x:row r="99">
      <x:c r="E99" s="101"/>
      <x:c r="L99" s="101"/>
      <x:c r="M99" s="104"/>
      <x:c r="Q99" s="101"/>
    </x:row>
    <x:row r="100">
      <x:c r="E100" s="101"/>
      <x:c r="L100" s="101"/>
      <x:c r="M100" s="104"/>
      <x:c r="Q100" s="101"/>
    </x:row>
    <x:row r="101">
      <x:c r="E101" s="101"/>
      <x:c r="L101" s="101"/>
      <x:c r="M101" s="104"/>
      <x:c r="Q101" s="101"/>
    </x:row>
    <x:row r="102">
      <x:c r="E102" s="101"/>
      <x:c r="L102" s="101"/>
      <x:c r="M102" s="104"/>
      <x:c r="Q102" s="101"/>
    </x:row>
    <x:row r="103">
      <x:c r="E103" s="101"/>
      <x:c r="L103" s="101"/>
      <x:c r="M103" s="104"/>
      <x:c r="Q103" s="101"/>
    </x:row>
    <x:row r="104">
      <x:c r="E104" s="101"/>
      <x:c r="L104" s="101"/>
      <x:c r="M104" s="104"/>
      <x:c r="Q104" s="101"/>
    </x:row>
    <x:row r="105">
      <x:c r="E105" s="101"/>
      <x:c r="L105" s="101"/>
      <x:c r="M105" s="104"/>
      <x:c r="Q105" s="101"/>
    </x:row>
    <x:row r="106">
      <x:c r="E106" s="101"/>
      <x:c r="L106" s="101"/>
      <x:c r="M106" s="104"/>
      <x:c r="Q106" s="101"/>
    </x:row>
    <x:row r="107">
      <x:c r="E107" s="101"/>
      <x:c r="L107" s="101"/>
      <x:c r="M107" s="104"/>
      <x:c r="Q107" s="101"/>
    </x:row>
    <x:row r="108">
      <x:c r="E108" s="101"/>
      <x:c r="L108" s="101"/>
      <x:c r="M108" s="104"/>
      <x:c r="Q108" s="101"/>
    </x:row>
  </x:sheetData>
  <x:mergeCells>
    <x:mergeCell ref="A1:R1"/>
    <x:mergeCell ref="A2:R2"/>
    <x:mergeCell ref="A4:C4"/>
    <x:mergeCell ref="A5:C5"/>
    <x:mergeCell ref="D4:F4"/>
    <x:mergeCell ref="D5:F5"/>
    <x:mergeCell ref="G4:I4"/>
    <x:mergeCell ref="G5:I5"/>
    <x:mergeCell ref="J4:L4"/>
    <x:mergeCell ref="J5:L5"/>
    <x:mergeCell ref="N4:R4"/>
    <x:mergeCell ref="N5:P5"/>
    <x:mergeCell ref="Q5:R5"/>
    <x:mergeCell ref="N6:P6"/>
    <x:mergeCell ref="Q6:R6"/>
  </x:mergeCells>
  <x:conditionalFormatting sqref="F9:F108">
    <x:cfRule type="containsText" dxfId="0" priority="1" operator="containsText" text="Submitted"/>
    <x:cfRule type="containsText" dxfId="1" priority="2" operator="containsText" text="Approved"/>
    <x:cfRule type="containsText" dxfId="2" priority="3" operator="containsText" text="Failed"/>
    <x:cfRule type="containsText" dxfId="3" priority="4" operator="containsText" text="Rejected"/>
    <x:cfRule type="containsText" dxfId="4" priority="5" operator="containsText" text="Skipped"/>
  </x:conditionalFormatting>
  <x:dataValidations count="4">
    <x:dataValidation type="list" sqref="F9:F108">
      <x:formula1>"Submitted - awaiting review,Approved - live,Rejected,Failed - retry,Skipped"</x:formula1>
    </x:dataValidation>
    <x:dataValidation type="list" sqref="D9:D108">
      <x:formula1>"Web form,Email,Account submission,Other"</x:formula1>
    </x:dataValidation>
    <x:dataValidation type="list" sqref="G9:G108">
      <x:formula1>"Free,Paid,Not applicable"</x:formula1>
    </x:dataValidation>
    <x:dataValidation type="list" sqref="H9:H108">
      <x:formula1>"Dofollow,Nofollow,Not stated,Not applicable"</x:formula1>
    </x:dataValidation>
  </x:dataValidations>
  <x:pageMargins left="0.7" right="0.7" top="0.75" bottom="0.75" header="0.3" footer="0.3"/>
  <x:tableParts count="1">
    <x:tablePart xmlns:r="http://schemas.openxmlformats.org/officeDocument/2006/relationships" r:id="Re388f18e10a64509"/>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3" hidden="0" customWidth="1"/>
    <x:col min="2" max="2" width="72" hidden="0" customWidth="1"/>
    <x:col min="3" max="3" width="48" hidden="0" customWidth="1"/>
    <x:col min="4" max="4" width="14" hidden="0" customWidth="1"/>
  </x:cols>
  <x:sheetData>
    <x:row r="1" ht="34" customHeight="1">
      <x:c r="A1" s="106" t="str">
        <x:v>Legal Arena — Reusable Directory Submission Copy</x:v>
      </x:c>
      <x:c r="B1" s="106"/>
      <x:c r="C1" s="106"/>
      <x:c r="D1" s="106"/>
    </x:row>
    <x:row r="2" ht="28" customHeight="1">
      <x:c r="A2" s="109" t="str">
        <x:v>Use this tab as the approved source text for future free-directory submissions. Verify pricing and product claims before reusing.</x:v>
      </x:c>
      <x:c r="B2" s="109"/>
      <x:c r="C2" s="109"/>
      <x:c r="D2" s="109"/>
    </x:row>
    <x:row r="4">
      <x:c r="A4" s="111" t="str">
        <x:v>Field</x:v>
      </x:c>
      <x:c r="B4" s="111" t="str">
        <x:v>Approved value</x:v>
      </x:c>
      <x:c r="C4" s="111" t="str">
        <x:v>Usage notes</x:v>
      </x:c>
      <x:c r="D4" s="111" t="str">
        <x:v>Last verified</x:v>
      </x:c>
    </x:row>
    <x:row r="5" ht="52" customHeight="1">
      <x:c r="A5" s="123" t="str">
        <x:v>Product name</x:v>
      </x:c>
      <x:c r="B5" s="117" t="str">
        <x:v>Legal Arena</x:v>
      </x:c>
      <x:c r="C5" s="117" t="str">
        <x:v>Use the exact brand name.</x:v>
      </x:c>
      <x:c r="D5" s="119" t="n">
        <x:v>46223</x:v>
      </x:c>
    </x:row>
    <x:row r="6" ht="52" customHeight="1">
      <x:c r="A6" s="124" t="str">
        <x:v>Website</x:v>
      </x:c>
      <x:c r="B6" s="118" t="str">
        <x:v>https://legalarena.app</x:v>
      </x:c>
      <x:c r="C6" s="118" t="str">
        <x:v>Canonical product URL.</x:v>
      </x:c>
      <x:c r="D6" s="120" t="n">
        <x:v>46223</x:v>
      </x:c>
    </x:row>
    <x:row r="7" ht="52" customHeight="1">
      <x:c r="A7" s="124" t="str">
        <x:v>Contact email</x:v>
      </x:c>
      <x:c r="B7" s="118" t="str">
        <x:v>divyanthj@gmail.com</x:v>
      </x:c>
      <x:c r="C7" s="118" t="str">
        <x:v>Owner/contact for review follow-up.</x:v>
      </x:c>
      <x:c r="D7" s="120" t="n">
        <x:v>46223</x:v>
      </x:c>
    </x:row>
    <x:row r="8" ht="52" customHeight="1">
      <x:c r="A8" s="124" t="str">
        <x:v>Tagline (&lt;80 chars)</x:v>
      </x:c>
      <x:c r="B8" s="118" t="str">
        <x:v>Build cases, argue against AI counsel, and face an AI judge.</x:v>
      </x:c>
      <x:c r="C8" s="118" t="str">
        <x:v>60 characters.</x:v>
      </x:c>
      <x:c r="D8" s="120" t="n">
        <x:v>46223</x:v>
      </x:c>
    </x:row>
    <x:row r="9" ht="52" customHeight="1">
      <x:c r="A9" s="124" t="str">
        <x:v>Short description (&lt;30 words)</x:v>
      </x:c>
      <x:c r="B9" s="118" t="str">
        <x:v>Interview AI clients, build fact sheets, negotiate settlements, argue against AI counsel, and receive reasoned courtroom rulings in a browser-based legal strategy game.</x:v>
      </x:c>
      <x:c r="C9" s="118" t="str">
        <x:v>23 words; suitable for constrained forms.</x:v>
      </x:c>
      <x:c r="D9" s="120" t="n">
        <x:v>46223</x:v>
      </x:c>
    </x:row>
    <x:row r="10" ht="52" customHeight="1">
      <x:c r="A10" s="124" t="str">
        <x:v>Long description</x:v>
      </x:c>
      <x:c r="B10" s="118" t="str">
        <x:v>Legal Arena is a browser-based AI lawyer game where players interview AI clients in their own words, organize facts, negotiate settlements, argue against AI opposing counsel, challenge other players, and receive reasoned rulings from an AI judge.</x:v>
      </x:c>
      <x:c r="C10" s="118" t="str">
        <x:v>Use where the directory allows a full product description.</x:v>
      </x:c>
      <x:c r="D10" s="120" t="n">
        <x:v>46223</x:v>
      </x:c>
    </x:row>
    <x:row r="11" ht="52" customHeight="1">
      <x:c r="A11" s="124" t="str">
        <x:v>Categories</x:v>
      </x:c>
      <x:c r="B11" s="118" t="str">
        <x:v>Legal; Gaming; Education; Generative AI; Business; Students; Research</x:v>
      </x:c>
      <x:c r="C11" s="118" t="str">
        <x:v>Choose the closest available categories; do not imply legal-advice functionality.</x:v>
      </x:c>
      <x:c r="D11" s="120" t="n">
        <x:v>46223</x:v>
      </x:c>
    </x:row>
    <x:row r="12" ht="52" customHeight="1">
      <x:c r="A12" s="124" t="str">
        <x:v>Pricing</x:v>
      </x:c>
      <x:c r="B12" s="118" t="str">
        <x:v>Freemium — one complete case free; $15.99 one-time early access for the full build</x:v>
      </x:c>
      <x:c r="C12" s="118" t="str">
        <x:v>Product pricing; directory submissions themselves must remain free.</x:v>
      </x:c>
      <x:c r="D12" s="120" t="n">
        <x:v>46223</x:v>
      </x:c>
    </x:row>
    <x:row r="13" ht="52" customHeight="1">
      <x:c r="A13" s="124" t="str">
        <x:v>Audience</x:v>
      </x:c>
      <x:c r="B13" s="118" t="str">
        <x:v>People interested in law, courtroom drama, debate, strategic reasoning, law students, legal professionals seeking simulation practice, and law-curious gamers.</x:v>
      </x:c>
      <x:c r="C13" s="118" t="str">
        <x:v>Adapt only when a directory requests a narrower buyer profile.</x:v>
      </x:c>
      <x:c r="D13" s="120" t="n">
        <x:v>46223</x:v>
      </x:c>
    </x:row>
    <x:row r="14" ht="52" customHeight="1">
      <x:c r="A14" s="124" t="str">
        <x:v>Disclaimer</x:v>
      </x:c>
      <x:c r="B14" s="118" t="str">
        <x:v>Legal Arena is a game and training simulator. It is not legal advice, a law firm, or a substitute for hiring an attorney.</x:v>
      </x:c>
      <x:c r="C14" s="118" t="str">
        <x:v>Include whenever the form permits.</x:v>
      </x:c>
      <x:c r="D14" s="120" t="n">
        <x:v>46223</x:v>
      </x:c>
    </x:row>
    <x:row r="15" ht="52" customHeight="1">
      <x:c r="A15" s="124" t="str">
        <x:v>Logo URL</x:v>
      </x:c>
      <x:c r="B15" s="118" t="str">
        <x:v>https://legalarena.app/logoAndName.png</x:v>
      </x:c>
      <x:c r="C15" s="118" t="str">
        <x:v>Public brand asset for logo/image URL fields.</x:v>
      </x:c>
      <x:c r="D15" s="120" t="n">
        <x:v>46223</x:v>
      </x:c>
    </x:row>
    <x:row r="16" ht="52" customHeight="1">
      <x:c r="A16" s="124" t="str">
        <x:v>Product source</x:v>
      </x:c>
      <x:c r="B16" s="118" t="str">
        <x:v>https://legalarena.app/llms.txt</x:v>
      </x:c>
      <x:c r="C16" s="118" t="str">
        <x:v>Canonical product facts and citation summary.</x:v>
      </x:c>
      <x:c r="D16" s="120" t="n">
        <x:v>46223</x:v>
      </x:c>
    </x:row>
  </x:sheetData>
  <x:mergeCells>
    <x:mergeCell ref="A1:D1"/>
    <x:mergeCell ref="A2:D2"/>
  </x:mergeCells>
  <x:pageMargins left="0.7" right="0.7" top="0.75" bottom="0.75" header="0.3" footer="0.3"/>
</x:worksheet>
</file>